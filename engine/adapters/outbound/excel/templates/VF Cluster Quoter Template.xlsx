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33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[$€-2]\ * #,##0_-;\-[$€-2]\ * #,##0_-;_-[$€-2]\ * &quot;-&quot;??_-;_-@_-"/>
    <numFmt numFmtId="165" formatCode="_-[$€-2]\ * #,##0.0_-;\-[$€-2]\ * #,##0.0_-;_-[$€-2]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0"/>
      <sz val="18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color theme="0"/>
      <sz val="12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8" tint="0.3999755851924192"/>
      </right>
      <top style="double">
        <color theme="8"/>
      </top>
      <bottom style="thin">
        <color theme="8" tint="0.3999755851924192"/>
      </bottom>
      <diagonal/>
    </border>
    <border>
      <left/>
      <right/>
      <top style="thin">
        <color theme="8" tint="0.3999755851924192"/>
      </top>
      <bottom/>
      <diagonal/>
    </border>
    <border>
      <left/>
      <right style="thin">
        <color theme="8" tint="0.3999755851924192"/>
      </right>
      <top/>
      <bottom style="thin">
        <color theme="8" tint="0.3999755851924192"/>
      </bottom>
      <diagonal/>
    </border>
  </borders>
  <cellStyleXfs count="2">
    <xf numFmtId="0" fontId="1" fillId="0" borderId="0"/>
    <xf numFmtId="9" fontId="1" fillId="0" borderId="0"/>
  </cellStyleXfs>
  <cellXfs count="34">
    <xf numFmtId="0" fontId="0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2" fillId="6" borderId="0" applyAlignment="1" pivotButton="0" quotePrefix="0" xfId="0">
      <alignment horizontal="right"/>
    </xf>
    <xf numFmtId="9" fontId="2" fillId="6" borderId="0" pivotButton="0" quotePrefix="0" xfId="1"/>
    <xf numFmtId="9" fontId="0" fillId="8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/>
    </xf>
    <xf numFmtId="0" fontId="5" fillId="0" borderId="0" pivotButton="0" quotePrefix="0" xfId="0"/>
    <xf numFmtId="9" fontId="0" fillId="0" borderId="0" pivotButton="0" quotePrefix="0" xfId="0"/>
    <xf numFmtId="0" fontId="0" fillId="0" borderId="2" pivotButton="0" quotePrefix="0" xfId="0"/>
    <xf numFmtId="165" fontId="0" fillId="0" borderId="2" pivotButton="0" quotePrefix="0" xfId="0"/>
    <xf numFmtId="164" fontId="0" fillId="0" borderId="2" pivotButton="0" quotePrefix="0" xfId="0"/>
    <xf numFmtId="9" fontId="0" fillId="0" borderId="2" pivotButton="0" quotePrefix="0" xfId="1"/>
    <xf numFmtId="164" fontId="0" fillId="0" borderId="2" pivotButton="0" quotePrefix="0" xfId="1"/>
    <xf numFmtId="0" fontId="6" fillId="3" borderId="0" applyAlignment="1" pivotButton="0" quotePrefix="0" xfId="0">
      <alignment horizontal="center" vertical="top" wrapText="1"/>
    </xf>
    <xf numFmtId="16" fontId="6" fillId="4" borderId="0" applyAlignment="1" pivotButton="0" quotePrefix="0" xfId="0">
      <alignment horizontal="center" vertical="top" wrapText="1"/>
    </xf>
    <xf numFmtId="16" fontId="6" fillId="10" borderId="0" applyAlignment="1" pivotButton="0" quotePrefix="0" xfId="0">
      <alignment horizontal="center" vertical="top" wrapText="1"/>
    </xf>
    <xf numFmtId="16" fontId="6" fillId="5" borderId="0" applyAlignment="1" pivotButton="0" quotePrefix="0" xfId="0">
      <alignment horizontal="center" vertical="top" wrapText="1"/>
    </xf>
    <xf numFmtId="0" fontId="2" fillId="9" borderId="0" applyAlignment="1" pivotButton="0" quotePrefix="0" xfId="0">
      <alignment horizontal="center" vertical="top" wrapText="1"/>
    </xf>
    <xf numFmtId="0" fontId="2" fillId="7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horizontal="center" vertical="top" wrapText="1"/>
    </xf>
    <xf numFmtId="0" fontId="2" fillId="6" borderId="0" applyAlignment="1" pivotButton="0" quotePrefix="0" xfId="0">
      <alignment horizontal="center" vertical="top" wrapText="1"/>
    </xf>
    <xf numFmtId="164" fontId="2" fillId="6" borderId="3" pivotButton="0" quotePrefix="0" xfId="0"/>
    <xf numFmtId="0" fontId="5" fillId="0" borderId="0" applyAlignment="1" pivotButton="0" quotePrefix="0" xfId="0">
      <alignment horizontal="center" vertical="center"/>
    </xf>
    <xf numFmtId="0" fontId="0" fillId="8" borderId="2" pivotButton="0" quotePrefix="0" xfId="0"/>
    <xf numFmtId="165" fontId="0" fillId="8" borderId="2" pivotButton="0" quotePrefix="0" xfId="0"/>
    <xf numFmtId="164" fontId="0" fillId="8" borderId="2" pivotButton="0" quotePrefix="0" xfId="0"/>
    <xf numFmtId="9" fontId="0" fillId="8" borderId="2" pivotButton="0" quotePrefix="0" xfId="1"/>
    <xf numFmtId="164" fontId="0" fillId="8" borderId="2" pivotButton="0" quotePrefix="0" xfId="1"/>
    <xf numFmtId="164" fontId="2" fillId="6" borderId="1" pivotButton="0" quotePrefix="0" xfId="0"/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34"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_-[$€-2]\ * #,##0_-;\-[$€-2]\ * #,##0_-;_-[$€-2]\ * &quot;-&quot;??_-;_-@_-"/>
      <fill>
        <patternFill patternType="solid">
          <fgColor indexed="64"/>
          <bgColor rgb="FFFF0000"/>
        </patternFill>
      </fill>
      <border outline="0">
        <left/>
        <right style="thin">
          <color theme="8" tint="0.3999755851924192"/>
        </right>
        <top/>
        <bottom style="thin">
          <color theme="8" tint="0.3999755851924192"/>
        </bottom>
      </border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8" tint="0.3999755851924192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5" formatCode="_-[$€-2]\ * #,##0.0_-;\-[$€-2]\ * #,##0.0_-;_-[$€-2]\ * &quot;-&quot;??_-;_-@_-"/>
    </dxf>
    <dxf>
      <numFmt numFmtId="165" formatCode="_-[$€-2]\ * #,##0.0_-;\-[$€-2]\ * #,##0.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 outline="0">
        <left style="thin">
          <color rgb="FFD86DCD"/>
        </left>
        <right style="thin">
          <color rgb="FFD86DCD"/>
        </right>
        <top style="thin">
          <color rgb="FFD86DCD"/>
        </top>
        <bottom style="double">
          <color rgb="FFA02B93"/>
        </bottom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4810" displayName="Table4810" ref="A6:W9" headerRowCount="1" totalsRowCount="1" tableBorderDxfId="33">
  <autoFilter ref="A6:W8"/>
  <tableColumns count="23">
    <tableColumn id="1" name="Stream" totalsRowLabel="Total" dataDxfId="32"/>
    <tableColumn id="2" name="Name" dataDxfId="31"/>
    <tableColumn id="3" name="Profile" dataDxfId="30"/>
    <tableColumn id="4" name="Rate Day" totalsRowFunction="average" dataDxfId="29" totalsRowDxfId="28"/>
    <tableColumn id="5" name="Rate hour" dataDxfId="27">
      <calculatedColumnFormula>D7/8</calculatedColumnFormula>
    </tableColumn>
    <tableColumn id="6" name="Jan" totalsRowFunction="sum" dataDxfId="26"/>
    <tableColumn id="7" name="Feb" totalsRowFunction="sum" dataDxfId="25"/>
    <tableColumn id="8" name="Mar" totalsRowFunction="sum" dataDxfId="24"/>
    <tableColumn id="9" name="Apr" totalsRowFunction="sum" dataDxfId="23"/>
    <tableColumn id="10" name="May" totalsRowFunction="sum" dataDxfId="22"/>
    <tableColumn id="11" name="Jun" totalsRowFunction="sum" dataDxfId="21"/>
    <tableColumn id="12" name="Total FTE" totalsRowFunction="sum" dataDxfId="20">
      <calculatedColumnFormula>SUM(Estimate!$F7:$K7)</calculatedColumnFormula>
    </tableColumn>
    <tableColumn id="13" name="Jan " totalsRowFunction="sum" dataDxfId="19" totalsRowDxfId="18">
      <calculatedColumnFormula>$D7*F7</calculatedColumnFormula>
    </tableColumn>
    <tableColumn id="14" name="Feb " totalsRowFunction="sum" dataDxfId="17" totalsRowDxfId="16">
      <calculatedColumnFormula>$D7*G7</calculatedColumnFormula>
    </tableColumn>
    <tableColumn id="15" name="Mar " totalsRowFunction="sum" dataDxfId="15" totalsRowDxfId="14">
      <calculatedColumnFormula>$D7*H7</calculatedColumnFormula>
    </tableColumn>
    <tableColumn id="16" name="Apr " totalsRowFunction="sum" dataDxfId="13" totalsRowDxfId="12">
      <calculatedColumnFormula>$D7*I7</calculatedColumnFormula>
    </tableColumn>
    <tableColumn id="17" name="May " totalsRowFunction="sum" dataDxfId="11" totalsRowDxfId="10">
      <calculatedColumnFormula>$D7*J7</calculatedColumnFormula>
    </tableColumn>
    <tableColumn id="18" name="Jun " totalsRowFunction="sum" dataDxfId="9" totalsRowDxfId="8">
      <calculatedColumnFormula>$D7*K7</calculatedColumnFormula>
    </tableColumn>
    <tableColumn id="19" name="Total Cost" totalsRowFunction="sum" dataDxfId="7" totalsRowDxfId="6">
      <calculatedColumnFormula>SUM(M7:R7)</calculatedColumnFormula>
    </tableColumn>
    <tableColumn id="20" name="GM% Target" dataDxfId="5">
      <calculatedColumnFormula>$T$5</calculatedColumnFormula>
    </tableColumn>
    <tableColumn id="21" name="% Cost Real" dataDxfId="4"/>
    <tableColumn id="22" name="Total Cost Real" totalsRowFunction="sum" dataDxfId="3" totalsRowDxfId="2">
      <calculatedColumnFormula>Estimate!$S7*Estimate!$U7</calculatedColumnFormula>
    </tableColumn>
    <tableColumn id="23" name="Total Revenue" totalsRowFunction="sum" dataDxfId="1" totalsRowDxfId="0">
      <calculatedColumnFormula>Estimate!$S7/(1-Estimate!$T7)</calculatedColumnFormula>
    </tableColumn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showGridLines="0" tabSelected="1" zoomScaleNormal="100" workbookViewId="0">
      <pane ySplit="6" topLeftCell="A7" activePane="bottomLeft" state="frozen"/>
      <selection pane="bottomLeft" activeCell="T6" sqref="T6"/>
    </sheetView>
  </sheetViews>
  <sheetFormatPr baseColWidth="8" defaultColWidth="8.85546875" defaultRowHeight="15"/>
  <cols>
    <col width="15.42578125" bestFit="1" customWidth="1" min="1" max="1"/>
    <col width="11.140625" bestFit="1" customWidth="1" min="2" max="2"/>
    <col width="16.140625" bestFit="1" customWidth="1" min="3" max="3"/>
    <col outlineLevel="1" width="13.85546875" bestFit="1" customWidth="1" min="4" max="4"/>
    <col outlineLevel="1" width="14.42578125" bestFit="1" customWidth="1" min="5" max="5"/>
    <col width="8.5703125" bestFit="1" customWidth="1" min="6" max="6"/>
    <col width="9" bestFit="1" customWidth="1" min="7" max="7"/>
    <col width="9.140625" bestFit="1" customWidth="1" min="8" max="8"/>
    <col width="8.7109375" bestFit="1" customWidth="1" min="9" max="9"/>
    <col width="9.42578125" bestFit="1" customWidth="1" min="10" max="10"/>
    <col width="8.5703125" bestFit="1" customWidth="1" min="11" max="11"/>
    <col width="13.85546875" bestFit="1" customWidth="1" min="12" max="12"/>
    <col outlineLevel="1" width="9.28515625" bestFit="1" customWidth="1" min="13" max="16"/>
    <col outlineLevel="1" width="9.42578125" bestFit="1" customWidth="1" min="17" max="17"/>
    <col outlineLevel="1" width="9.28515625" bestFit="1" customWidth="1" min="18" max="18"/>
    <col outlineLevel="1" width="14.7109375" bestFit="1" customWidth="1" min="19" max="19"/>
    <col outlineLevel="1" width="11.28515625" bestFit="1" customWidth="1" min="20" max="20"/>
    <col outlineLevel="1" width="11.85546875" bestFit="1" customWidth="1" min="21" max="21"/>
    <col outlineLevel="1" width="14.7109375" bestFit="1" customWidth="1" min="22" max="22"/>
    <col width="18.5703125" bestFit="1" customWidth="1" min="23" max="23"/>
    <col width="10.85546875" customWidth="1" min="24" max="24"/>
  </cols>
  <sheetData>
    <row r="1" ht="24.75" customHeight="1" thickBot="1">
      <c r="A1" s="3" t="inlineStr">
        <is>
          <t>VFPT M2M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 ht="15.75" customHeight="1" thickTop="1">
      <c r="A2" t="inlineStr">
        <is>
          <t>New</t>
        </is>
      </c>
      <c r="B2" s="31">
        <f>SUBTOTAL(109,Estimate!$W$7:$W$8)</f>
        <v/>
      </c>
      <c r="C2" s="10" t="n"/>
      <c r="D2" s="1" t="n"/>
    </row>
    <row r="3">
      <c r="G3" s="25" t="n"/>
    </row>
    <row r="4">
      <c r="F4" s="25" t="n"/>
      <c r="G4" s="25" t="n"/>
      <c r="H4" s="9" t="n"/>
      <c r="J4" s="9" t="n"/>
      <c r="K4" s="9" t="n"/>
      <c r="T4" t="inlineStr">
        <is>
          <t>Target GM%</t>
        </is>
      </c>
      <c r="V4" s="4" t="inlineStr">
        <is>
          <t>GM % Final</t>
        </is>
      </c>
      <c r="W4" s="5">
        <f>(Table4810[[#Totals],[Total Revenue]]-Table4810[[#Totals],[Total Cost Real]])/Table4810[[#Totals],[Total Revenue]]</f>
        <v/>
      </c>
    </row>
    <row r="5">
      <c r="F5" s="32" t="n"/>
      <c r="L5" s="8" t="n"/>
      <c r="M5" s="33" t="n"/>
      <c r="T5" s="6" t="n">
        <v>0.3</v>
      </c>
    </row>
    <row r="6" ht="30" customHeight="1">
      <c r="A6" s="16" t="inlineStr">
        <is>
          <t>Stream</t>
        </is>
      </c>
      <c r="B6" s="16" t="inlineStr">
        <is>
          <t>Name</t>
        </is>
      </c>
      <c r="C6" s="16" t="inlineStr">
        <is>
          <t>Profile</t>
        </is>
      </c>
      <c r="D6" s="16" t="inlineStr">
        <is>
          <t>Rate Day</t>
        </is>
      </c>
      <c r="E6" s="16" t="inlineStr">
        <is>
          <t>Rate hour</t>
        </is>
      </c>
      <c r="F6" s="17" t="inlineStr">
        <is>
          <t>Jan</t>
        </is>
      </c>
      <c r="G6" s="17" t="inlineStr">
        <is>
          <t>Feb</t>
        </is>
      </c>
      <c r="H6" s="17" t="inlineStr">
        <is>
          <t>Mar</t>
        </is>
      </c>
      <c r="I6" s="17" t="inlineStr">
        <is>
          <t>Apr</t>
        </is>
      </c>
      <c r="J6" s="17" t="inlineStr">
        <is>
          <t>May</t>
        </is>
      </c>
      <c r="K6" s="17" t="inlineStr">
        <is>
          <t>Jun</t>
        </is>
      </c>
      <c r="L6" s="18" t="inlineStr">
        <is>
          <t>Total FTE</t>
        </is>
      </c>
      <c r="M6" s="19" t="inlineStr">
        <is>
          <t xml:space="preserve">Jan </t>
        </is>
      </c>
      <c r="N6" s="19" t="inlineStr">
        <is>
          <t xml:space="preserve">Feb </t>
        </is>
      </c>
      <c r="O6" s="19" t="inlineStr">
        <is>
          <t xml:space="preserve">Mar </t>
        </is>
      </c>
      <c r="P6" s="19" t="inlineStr">
        <is>
          <t xml:space="preserve">Apr </t>
        </is>
      </c>
      <c r="Q6" s="19" t="inlineStr">
        <is>
          <t xml:space="preserve">May </t>
        </is>
      </c>
      <c r="R6" s="19" t="inlineStr">
        <is>
          <t xml:space="preserve">Jun </t>
        </is>
      </c>
      <c r="S6" s="20" t="inlineStr">
        <is>
          <t>Total Cost</t>
        </is>
      </c>
      <c r="T6" s="21" t="inlineStr">
        <is>
          <t>GM% Target</t>
        </is>
      </c>
      <c r="U6" s="22" t="inlineStr">
        <is>
          <t>% Cost Real</t>
        </is>
      </c>
      <c r="V6" s="22" t="inlineStr">
        <is>
          <t>Total Cost Real</t>
        </is>
      </c>
      <c r="W6" s="23" t="inlineStr">
        <is>
          <t>Total Revenue</t>
        </is>
      </c>
    </row>
    <row r="7">
      <c r="A7" s="11" t="inlineStr">
        <is>
          <t>{{streamName}}</t>
        </is>
      </c>
      <c r="B7" s="11" t="n"/>
      <c r="C7" s="11" t="inlineStr">
        <is>
          <t>{{profileName}}</t>
        </is>
      </c>
      <c r="D7" s="12" t="inlineStr">
        <is>
          <t>{{rateDay}}</t>
        </is>
      </c>
      <c r="E7" s="13">
        <f>D7/8</f>
        <v/>
      </c>
      <c r="F7" s="11" t="inlineStr">
        <is>
          <t>{{m1days}}</t>
        </is>
      </c>
      <c r="G7" s="11" t="inlineStr">
        <is>
          <t>{{m2days}}</t>
        </is>
      </c>
      <c r="H7" s="11" t="inlineStr">
        <is>
          <t>{{m3days}}</t>
        </is>
      </c>
      <c r="I7" s="11" t="inlineStr">
        <is>
          <t>{{m4days}}</t>
        </is>
      </c>
      <c r="J7" s="11" t="inlineStr">
        <is>
          <t>{{m5days}}</t>
        </is>
      </c>
      <c r="K7" s="11" t="inlineStr">
        <is>
          <t>{{m6days}}</t>
        </is>
      </c>
      <c r="L7" s="11">
        <f>SUM(Estimate!$F7:$K7)</f>
        <v/>
      </c>
      <c r="M7" s="13">
        <f>$D7*F7</f>
        <v/>
      </c>
      <c r="N7" s="13">
        <f>$D7*G7</f>
        <v/>
      </c>
      <c r="O7" s="13">
        <f>$D7*H7</f>
        <v/>
      </c>
      <c r="P7" s="13">
        <f>$D7*I7</f>
        <v/>
      </c>
      <c r="Q7" s="13">
        <f>$D7*J7</f>
        <v/>
      </c>
      <c r="R7" s="13">
        <f>$D7*K7</f>
        <v/>
      </c>
      <c r="S7" s="13">
        <f>SUM(M7:R7)</f>
        <v/>
      </c>
      <c r="T7" s="14">
        <f>$T$5</f>
        <v/>
      </c>
      <c r="U7" s="14" t="n">
        <v>1</v>
      </c>
      <c r="V7" s="15">
        <f>Estimate!$S7*Estimate!$U7</f>
        <v/>
      </c>
      <c r="W7" s="13">
        <f>Estimate!$S7/(1-Estimate!$T7)</f>
        <v/>
      </c>
    </row>
    <row r="8">
      <c r="A8" s="26" t="inlineStr">
        <is>
          <t>{{separator}}</t>
        </is>
      </c>
      <c r="B8" s="26" t="n"/>
      <c r="C8" s="26" t="n"/>
      <c r="D8" s="27" t="n"/>
      <c r="E8" s="28">
        <f>D8/8</f>
        <v/>
      </c>
      <c r="F8" s="26" t="n"/>
      <c r="G8" s="26" t="n"/>
      <c r="H8" s="26" t="n"/>
      <c r="I8" s="26" t="n"/>
      <c r="J8" s="26" t="n"/>
      <c r="K8" s="26" t="n"/>
      <c r="L8" s="26">
        <f>SUM(Estimate!$F8:$K8)</f>
        <v/>
      </c>
      <c r="M8" s="28">
        <f>$D8*F8</f>
        <v/>
      </c>
      <c r="N8" s="28">
        <f>$D8*G8</f>
        <v/>
      </c>
      <c r="O8" s="28">
        <f>$D8*H8</f>
        <v/>
      </c>
      <c r="P8" s="28">
        <f>$D8*I8</f>
        <v/>
      </c>
      <c r="Q8" s="28">
        <f>$D8*J8</f>
        <v/>
      </c>
      <c r="R8" s="28">
        <f>$D8*K8</f>
        <v/>
      </c>
      <c r="S8" s="28">
        <f>SUM(M8:R8)</f>
        <v/>
      </c>
      <c r="T8" s="29">
        <f>$T$5</f>
        <v/>
      </c>
      <c r="U8" s="29" t="n">
        <v>1</v>
      </c>
      <c r="V8" s="30">
        <f>Estimate!$S8*Estimate!$U8</f>
        <v/>
      </c>
      <c r="W8" s="28">
        <f>Estimate!$S8/(1-Estimate!$T8)</f>
        <v/>
      </c>
    </row>
    <row r="9">
      <c r="A9" t="inlineStr">
        <is>
          <t>Total</t>
        </is>
      </c>
      <c r="D9" s="7">
        <f>SUBTOTAL(101,Table4810[Rate Day])</f>
        <v/>
      </c>
      <c r="F9">
        <f>SUBTOTAL(109,Table4810[Jan])</f>
        <v/>
      </c>
      <c r="G9">
        <f>SUBTOTAL(109,Table4810[Feb])</f>
        <v/>
      </c>
      <c r="H9">
        <f>SUBTOTAL(109,Table4810[Mar])</f>
        <v/>
      </c>
      <c r="I9">
        <f>SUBTOTAL(109,Table4810[Apr])</f>
        <v/>
      </c>
      <c r="J9">
        <f>SUBTOTAL(109,Table4810[May])</f>
        <v/>
      </c>
      <c r="K9">
        <f>SUBTOTAL(109,Table4810[Jun])</f>
        <v/>
      </c>
      <c r="L9">
        <f>SUBTOTAL(109,Table4810[Total FTE])</f>
        <v/>
      </c>
      <c r="M9" s="1">
        <f>SUBTOTAL(109,Table4810[[Jan ]])</f>
        <v/>
      </c>
      <c r="N9" s="1">
        <f>SUBTOTAL(109,Table4810[[Feb ]])</f>
        <v/>
      </c>
      <c r="O9" s="1">
        <f>SUBTOTAL(109,Table4810[[Mar ]])</f>
        <v/>
      </c>
      <c r="P9" s="1">
        <f>SUBTOTAL(109,Table4810[[Apr ]])</f>
        <v/>
      </c>
      <c r="Q9" s="1">
        <f>SUBTOTAL(109,Table4810[[May ]])</f>
        <v/>
      </c>
      <c r="R9" s="1">
        <f>SUBTOTAL(109,Table4810[[Jun ]])</f>
        <v/>
      </c>
      <c r="S9" s="1">
        <f>SUBTOTAL(109,Table4810[Total Cost])</f>
        <v/>
      </c>
      <c r="V9" s="1">
        <f>SUBTOTAL(109,Table4810[Total Cost Real])</f>
        <v/>
      </c>
      <c r="W9" s="24">
        <f>SUBTOTAL(109,Table4810[Total Revenue])</f>
        <v/>
      </c>
    </row>
    <row r="11">
      <c r="L11" s="1" t="n"/>
    </row>
    <row r="13">
      <c r="X13" s="1">
        <f>Table4810[[#Totals],[Total Revenue]]/Table4810[[#Totals],[Total FTE]]</f>
        <v/>
      </c>
      <c r="Y13" s="1" t="n"/>
    </row>
  </sheetData>
  <mergeCells count="2">
    <mergeCell ref="F5:K5"/>
    <mergeCell ref="M5:R5"/>
  </mergeCells>
  <conditionalFormatting sqref="E7:E8">
    <cfRule type="dataBar" priority="279">
      <dataBar>
        <cfvo type="min"/>
        <cfvo type="max"/>
        <color rgb="FFFFB628"/>
      </dataBar>
    </cfRule>
  </conditionalFormatting>
  <conditionalFormatting sqref="M7:R8">
    <cfRule type="colorScale" priority="280">
      <colorScale>
        <cfvo type="min"/>
        <cfvo type="max"/>
        <color rgb="FFFCFCFF"/>
        <color rgb="FFF8696B"/>
      </colorScale>
    </cfRule>
  </conditionalFormatting>
  <conditionalFormatting sqref="M9:R9">
    <cfRule type="colorScale" priority="2">
      <colorScale>
        <cfvo type="min"/>
        <cfvo type="max"/>
        <color rgb="FFFCFCFF"/>
        <color rgb="FFF8696B"/>
      </colorScale>
    </cfRule>
  </conditionalFormatting>
  <conditionalFormatting sqref="S7:U8">
    <cfRule type="dataBar" priority="281">
      <dataBar>
        <cfvo type="min"/>
        <cfvo type="max"/>
        <color rgb="FFFFB628"/>
      </dataBar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António Castanheira</dc:creator>
  <dcterms:created xmlns:dcterms="http://purl.org/dc/terms/" xmlns:xsi="http://www.w3.org/2001/XMLSchema-instance" xsi:type="dcterms:W3CDTF">2025-11-13T11:25:09Z</dcterms:created>
  <dcterms:modified xmlns:dcterms="http://purl.org/dc/terms/" xmlns:xsi="http://www.w3.org/2001/XMLSchema-instance" xsi:type="dcterms:W3CDTF">2026-05-13T20:03:42Z</dcterms:modified>
  <cp:lastModifiedBy>Rafael Pires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0x0101005CC156535E595C419F10DC3477DA6B70</vt:lpwstr>
  </property>
  <property name="MediaServiceImageTags" fmtid="{D5CDD505-2E9C-101B-9397-08002B2CF9AE}" pid="3">
    <vt:lpwstr xmlns:vt="http://schemas.openxmlformats.org/officeDocument/2006/docPropsVTypes"/>
  </property>
</Properties>
</file>