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ovabase-my.sharepoint.com/personal/nb27046_novabase_pt/Documents/Desktop/"/>
    </mc:Choice>
  </mc:AlternateContent>
  <xr:revisionPtr revIDLastSave="0" documentId="8_{070FAFDB-CB2E-4FCB-8835-ED3C6A7AEC00}" xr6:coauthVersionLast="47" xr6:coauthVersionMax="47" xr10:uidLastSave="{00000000-0000-0000-0000-000000000000}"/>
  <bookViews>
    <workbookView xWindow="-120" yWindow="-120" windowWidth="29040" windowHeight="15720" xr2:uid="{9E3BFA6A-C95B-4E19-8176-16DAD1CE0C22}"/>
  </bookViews>
  <sheets>
    <sheet name="Financial Model" sheetId="1" r:id="rId1"/>
  </sheets>
  <definedNames>
    <definedName name="BaseCost">'Financial Model'!$B$11</definedName>
    <definedName name="BlendedRate">'Financial Model'!$B$5</definedName>
    <definedName name="Margin">'Financial Model'!$B$6</definedName>
    <definedName name="Marin">'Financial Model'!$B$6</definedName>
    <definedName name="Price">'Financial Model'!$E$13</definedName>
    <definedName name="Revenue">'Financial Model'!$B$13</definedName>
    <definedName name="Risk">'Financial Model'!$B$7</definedName>
    <definedName name="RiskContingency">'Financial Model'!$B$12</definedName>
    <definedName name="RiskedCost">'Financial Model'!$E$12</definedName>
    <definedName name="S1CostContribution">'Financial Model'!$G$17</definedName>
    <definedName name="S1CustomerFundedCost">'Financial Model'!$F$17</definedName>
    <definedName name="S1CustomerPays">'Financial Model'!$D$17</definedName>
    <definedName name="S1Revenue">'Financial Model'!$E$17</definedName>
    <definedName name="S2CostContribution">'Financial Model'!$G$18</definedName>
    <definedName name="S2CustomerFundedCost">'Financial Model'!$F$18</definedName>
    <definedName name="S2CustomerPays">'Financial Model'!$D$18</definedName>
    <definedName name="S2Discount">'Financial Model'!$B$18</definedName>
    <definedName name="S2Revenue">'Financial Model'!$E$18</definedName>
    <definedName name="S3CostContribution">'Financial Model'!$G$19</definedName>
    <definedName name="S3CustomerFundedCost">'Financial Model'!$F$19</definedName>
    <definedName name="S3CustomerPays">'Financial Model'!$D$19</definedName>
    <definedName name="S3Revenue">'Financial Model'!$E$19</definedName>
    <definedName name="S4CostContribution">'Financial Model'!$G$20</definedName>
    <definedName name="S4CustomerFundedCost">'Financial Model'!$F$20</definedName>
    <definedName name="S4CustomerPays">'Financial Model'!$D$20</definedName>
    <definedName name="S4Revenue">'Financial Model'!$E$20</definedName>
    <definedName name="TotalSD">'Financial Model'!$B$4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B11" i="1"/>
  <c r="B12" i="1" l="1"/>
  <c r="E12" i="1" s="1"/>
  <c r="G20" i="1" l="1"/>
  <c r="D19" i="1"/>
  <c r="E20" i="1"/>
  <c r="E13" i="1"/>
  <c r="C20" i="1"/>
  <c r="B19" i="1" l="1"/>
  <c r="E19" i="1"/>
  <c r="F19" i="1"/>
  <c r="B13" i="1"/>
  <c r="D17" i="1"/>
  <c r="D18" i="1"/>
  <c r="B20" i="1"/>
  <c r="E18" i="1" l="1"/>
  <c r="F18" i="1"/>
  <c r="E17" i="1"/>
  <c r="F17" i="1"/>
  <c r="G17" i="1" s="1"/>
  <c r="C19" i="1"/>
  <c r="G19" i="1"/>
  <c r="C18" i="1" l="1"/>
  <c r="G18" i="1"/>
</calcChain>
</file>

<file path=xl/sharedStrings.xml><?xml version="1.0" encoding="utf-8"?>
<sst xmlns="http://schemas.openxmlformats.org/spreadsheetml/2006/main" count="30" uniqueCount="28">
  <si>
    <t>Financial Model: Cost + Margin + Risk + Co-Investment</t>
  </si>
  <si>
    <t>INPUT PARAMETERS</t>
  </si>
  <si>
    <t>Total Staff Days (SD):</t>
  </si>
  <si>
    <t>Blended Day Rate (€/SD):</t>
  </si>
  <si>
    <t>← EDITABLE</t>
  </si>
  <si>
    <t>Margin %:</t>
  </si>
  <si>
    <t>Risk Contingency %:</t>
  </si>
  <si>
    <t>COST BREAKDOWN</t>
  </si>
  <si>
    <t>Base Cost:</t>
  </si>
  <si>
    <t>Risk Contingency:</t>
  </si>
  <si>
    <t>Risked Cost:</t>
  </si>
  <si>
    <t>Profit (Margin):</t>
  </si>
  <si>
    <t>Selling Price:</t>
  </si>
  <si>
    <t>CO-INVESTMENT SCENARIOS</t>
  </si>
  <si>
    <t>Scenario</t>
  </si>
  <si>
    <t>Visible Discount</t>
  </si>
  <si>
    <t>Co-Investment %</t>
  </si>
  <si>
    <t>Customer Pays</t>
  </si>
  <si>
    <t>RB Profit (Margin)</t>
  </si>
  <si>
    <t>Customer Funded Cost</t>
  </si>
  <si>
    <t>RB Cost Contribution</t>
  </si>
  <si>
    <t>S1) Full Customer Funding</t>
  </si>
  <si>
    <t>S2) 50-50 Investment</t>
  </si>
  <si>
    <t>S3) Cost Only (Net Zero)</t>
  </si>
  <si>
    <t>S4) Strategic Investment</t>
  </si>
  <si>
    <t>↑ (sanity check)</t>
  </si>
  <si>
    <t>↑ EDITABLE</t>
  </si>
  <si>
    <t>{{totalStaffDays}}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</si>
</sst>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i/>
      <sz val="11"/>
      <color rgb="FFFF0000"/>
      <name val="Calibri"/>
    </font>
    <font>
      <b/>
      <u val="singleAccounting"/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2828"/>
        <bgColor rgb="FFC62828"/>
      </patternFill>
    </fill>
    <fill>
      <patternFill patternType="solid">
        <fgColor rgb="FFE3F2FD"/>
        <bgColor rgb="FFE3F2FD"/>
      </patternFill>
    </fill>
    <fill>
      <patternFill patternType="solid">
        <fgColor rgb="FFFFF9C4"/>
        <bgColor rgb="FFFFF9C4"/>
      </patternFill>
    </fill>
    <fill>
      <patternFill patternType="solid">
        <fgColor rgb="FFE8F5E9"/>
        <bgColor rgb="FFE8F5E9"/>
      </patternFill>
    </fill>
    <fill>
      <patternFill patternType="solid">
        <fgColor rgb="FFFFCDD2"/>
        <bgColor rgb="FFFFCDD2"/>
      </patternFill>
    </fill>
    <fill>
      <patternFill patternType="solid">
        <fgColor rgb="FFC8E6C9"/>
        <bgColor rgb="FFC8E6C9"/>
      </patternFill>
    </fill>
    <fill>
      <patternFill patternType="solid">
        <fgColor theme="9" tint="0.59999389629810485"/>
        <bgColor rgb="FFFFF9C4"/>
      </patternFill>
    </fill>
  </fills>
  <borders count="5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3" fillId="2" borderId="0" xfId="0" applyFont="1" applyFill="1"/>
    <xf numFmtId="0" fontId="0" fillId="0" borderId="0" xfId="0"/>
    <xf numFmtId="0" fontId="4" fillId="3" borderId="0" xfId="0" applyFont="1" applyFill="1"/>
    <xf numFmtId="0" fontId="4" fillId="0" borderId="0" xfId="0" applyFont="1"/>
    <xf numFmtId="0" fontId="5" fillId="0" borderId="0" xfId="0" applyFont="1"/>
    <xf numFmtId="9" fontId="0" fillId="0" borderId="0" xfId="0" applyNumberFormat="1"/>
    <xf numFmtId="0" fontId="4" fillId="4" borderId="0" xfId="0" applyFont="1" applyFill="1"/>
    <xf numFmtId="44" fontId="0" fillId="0" borderId="0" xfId="1" applyFont="1" applyAlignment="1">
      <alignment horizontal="right"/>
    </xf>
    <xf numFmtId="0" fontId="0" fillId="0" borderId="0" xfId="0" quotePrefix="1"/>
    <xf numFmtId="44" fontId="0" fillId="0" borderId="0" xfId="0" applyNumberFormat="1" applyAlignment="1">
      <alignment horizontal="right"/>
    </xf>
    <xf numFmtId="44" fontId="0" fillId="0" borderId="0" xfId="1" applyFont="1"/>
    <xf numFmtId="44" fontId="6" fillId="0" borderId="0" xfId="1" applyFont="1"/>
    <xf numFmtId="0" fontId="4" fillId="5" borderId="0" xfId="0" applyFont="1" applyFill="1" applyAlignment="1">
      <alignment horizontal="left"/>
    </xf>
    <xf numFmtId="0" fontId="4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9" fontId="0" fillId="0" borderId="0" xfId="2" applyFont="1" applyAlignment="1">
      <alignment horizontal="center" vertical="center"/>
    </xf>
    <xf numFmtId="44" fontId="2" fillId="6" borderId="0" xfId="1" applyFont="1" applyFill="1" applyAlignment="1">
      <alignment horizontal="center" vertical="center"/>
    </xf>
    <xf numFmtId="44" fontId="0" fillId="7" borderId="0" xfId="1" applyFont="1" applyFill="1" applyAlignment="1">
      <alignment horizontal="center" vertical="center"/>
    </xf>
    <xf numFmtId="44" fontId="0" fillId="0" borderId="0" xfId="1" applyFon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44" fontId="0" fillId="6" borderId="0" xfId="1" applyFont="1" applyFill="1" applyAlignment="1">
      <alignment horizontal="center" vertical="center"/>
    </xf>
    <xf numFmtId="44" fontId="2" fillId="8" borderId="2" xfId="1" applyFont="1" applyFill="1" applyBorder="1" applyAlignment="1">
      <alignment horizontal="center" vertical="center"/>
    </xf>
    <xf numFmtId="44" fontId="0" fillId="4" borderId="0" xfId="1" applyFont="1" applyFill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44" fontId="0" fillId="4" borderId="1" xfId="1" applyFont="1" applyFill="1" applyBorder="1" applyAlignment="1">
      <alignment horizontal="center" vertical="center"/>
    </xf>
    <xf numFmtId="44" fontId="0" fillId="8" borderId="4" xfId="1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B836-3959-4038-99DA-E131AF70AB69}">
  <dimension ref="A1:G21"/>
  <sheetViews>
    <sheetView tabSelected="1" workbookViewId="0">
      <selection activeCell="D5" sqref="D5"/>
    </sheetView>
  </sheetViews>
  <sheetFormatPr defaultRowHeight="15" x14ac:dyDescent="0.25"/>
  <cols>
    <col min="1" max="1" width="25" customWidth="1"/>
    <col min="2" max="2" width="18" customWidth="1"/>
    <col min="3" max="3" width="16.28515625" bestFit="1" customWidth="1"/>
    <col min="4" max="4" width="14.140625" bestFit="1" customWidth="1"/>
    <col min="5" max="5" width="22.5703125" bestFit="1" customWidth="1"/>
    <col min="6" max="6" width="21.42578125" bestFit="1" customWidth="1"/>
    <col min="7" max="7" width="25" bestFit="1" customWidth="1"/>
  </cols>
  <sheetData>
    <row r="1" spans="1:7" ht="24.95" customHeight="1" x14ac:dyDescent="0.3">
      <c r="A1" s="1" t="s">
        <v>0</v>
      </c>
      <c r="B1" s="2"/>
      <c r="C1" s="2"/>
      <c r="D1" s="2"/>
      <c r="E1" s="2"/>
    </row>
    <row r="3" spans="1:7" x14ac:dyDescent="0.25">
      <c r="A3" s="3" t="s">
        <v>1</v>
      </c>
      <c r="B3" s="2"/>
      <c r="C3" s="2"/>
      <c r="D3" s="2"/>
      <c r="E3" s="2"/>
    </row>
    <row r="4" spans="1:7" x14ac:dyDescent="0.25">
      <c r="A4" s="4" t="s">
        <v>2</v>
      </c>
      <c r="B4" t="s">
        <v>27</v>
      </c>
    </row>
    <row r="5" spans="1:7" x14ac:dyDescent="0.25">
      <c r="A5" s="4" t="s">
        <v>3</v>
      </c>
      <c r="B5">
        <v>280</v>
      </c>
      <c r="C5" s="5" t="s">
        <v>4</v>
      </c>
    </row>
    <row r="6" spans="1:7" x14ac:dyDescent="0.25">
      <c r="A6" s="4" t="s">
        <v>5</v>
      </c>
      <c r="B6" s="6">
        <v>0.3</v>
      </c>
      <c r="C6" s="5" t="s">
        <v>4</v>
      </c>
    </row>
    <row r="7" spans="1:7" x14ac:dyDescent="0.25">
      <c r="A7" s="4" t="s">
        <v>6</v>
      </c>
      <c r="B7" s="6">
        <v>0.1</v>
      </c>
      <c r="C7" s="5" t="s">
        <v>4</v>
      </c>
    </row>
    <row r="10" spans="1:7" x14ac:dyDescent="0.25">
      <c r="A10" s="7" t="s">
        <v>7</v>
      </c>
      <c r="B10" s="2"/>
      <c r="C10" s="2"/>
      <c r="D10" s="2"/>
      <c r="E10" s="2"/>
    </row>
    <row r="11" spans="1:7" x14ac:dyDescent="0.25">
      <c r="A11" t="s">
        <v>8</v>
      </c>
      <c r="B11" s="8" t="e">
        <f>TotalSD*BlendedRate</f>
        <v>#VALUE!</v>
      </c>
    </row>
    <row r="12" spans="1:7" x14ac:dyDescent="0.25">
      <c r="A12" s="9" t="s">
        <v>9</v>
      </c>
      <c r="B12" s="10" t="e">
        <f>BaseCost*Risk</f>
        <v>#VALUE!</v>
      </c>
      <c r="D12" t="s">
        <v>10</v>
      </c>
      <c r="E12" s="11" t="e">
        <f>BaseCost+RiskContingency</f>
        <v>#VALUE!</v>
      </c>
    </row>
    <row r="13" spans="1:7" ht="17.25" x14ac:dyDescent="0.4">
      <c r="A13" s="9" t="s">
        <v>11</v>
      </c>
      <c r="B13" s="10" t="e">
        <f>Price-RiskedCost</f>
        <v>#VALUE!</v>
      </c>
      <c r="D13" t="s">
        <v>12</v>
      </c>
      <c r="E13" s="12" t="e">
        <f>RiskedCost/(1-Margin)</f>
        <v>#VALUE!</v>
      </c>
    </row>
    <row r="15" spans="1:7" x14ac:dyDescent="0.25">
      <c r="A15" s="13" t="s">
        <v>13</v>
      </c>
      <c r="B15" s="13"/>
      <c r="C15" s="13"/>
      <c r="D15" s="13"/>
      <c r="E15" s="13"/>
      <c r="F15" s="13"/>
      <c r="G15" s="13"/>
    </row>
    <row r="16" spans="1:7" x14ac:dyDescent="0.25">
      <c r="A16" s="14" t="s">
        <v>14</v>
      </c>
      <c r="B16" s="14" t="s">
        <v>15</v>
      </c>
      <c r="C16" s="14" t="s">
        <v>16</v>
      </c>
      <c r="D16" s="14" t="s">
        <v>17</v>
      </c>
      <c r="E16" s="15" t="s">
        <v>18</v>
      </c>
      <c r="F16" s="15" t="s">
        <v>19</v>
      </c>
      <c r="G16" s="15" t="s">
        <v>20</v>
      </c>
    </row>
    <row r="17" spans="1:7" ht="30" customHeight="1" x14ac:dyDescent="0.25">
      <c r="A17" t="s">
        <v>21</v>
      </c>
      <c r="B17" s="16">
        <v>0</v>
      </c>
      <c r="C17" s="16">
        <v>0</v>
      </c>
      <c r="D17" s="17" t="e">
        <f>Price</f>
        <v>#VALUE!</v>
      </c>
      <c r="E17" s="18" t="e">
        <f>S1CustomerPays-RiskedCost</f>
        <v>#VALUE!</v>
      </c>
      <c r="F17" s="19" t="e">
        <f>S1CustomerPays*(1-Margin)</f>
        <v>#VALUE!</v>
      </c>
      <c r="G17" s="19" t="e">
        <f>RiskedCost-S1CustomerFundedCost</f>
        <v>#VALUE!</v>
      </c>
    </row>
    <row r="18" spans="1:7" ht="30" customHeight="1" x14ac:dyDescent="0.25">
      <c r="A18" t="s">
        <v>22</v>
      </c>
      <c r="B18" s="20">
        <v>0.5</v>
      </c>
      <c r="C18" s="16" t="e">
        <f>1-(S2CustomerFundedCost/RiskedCost)</f>
        <v>#VALUE!</v>
      </c>
      <c r="D18" s="18" t="e">
        <f>Price*(1-S2Discount)</f>
        <v>#VALUE!</v>
      </c>
      <c r="E18" s="21" t="e">
        <f>S2CustomerPays-RiskedCost</f>
        <v>#VALUE!</v>
      </c>
      <c r="F18" s="19" t="e">
        <f>S2CustomerPays*(1-Margin)</f>
        <v>#VALUE!</v>
      </c>
      <c r="G18" s="19" t="e">
        <f>RiskedCost-S2CustomerFundedCost</f>
        <v>#VALUE!</v>
      </c>
    </row>
    <row r="19" spans="1:7" ht="30" customHeight="1" x14ac:dyDescent="0.25">
      <c r="A19" t="s">
        <v>23</v>
      </c>
      <c r="B19" s="16" t="e">
        <f>1-(S3CustomerPays/Price)</f>
        <v>#VALUE!</v>
      </c>
      <c r="C19" s="16" t="e">
        <f>1-(S3CustomerFundedCost/RiskedCost)</f>
        <v>#VALUE!</v>
      </c>
      <c r="D19" s="22" t="e">
        <f>RiskedCost</f>
        <v>#VALUE!</v>
      </c>
      <c r="E19" s="23" t="e">
        <f>S3CustomerPays-RiskedCost</f>
        <v>#VALUE!</v>
      </c>
      <c r="F19" s="19" t="e">
        <f>S3CustomerPays*(1-Margin)</f>
        <v>#VALUE!</v>
      </c>
      <c r="G19" s="19" t="e">
        <f>RiskedCost-S3CustomerFundedCost</f>
        <v>#VALUE!</v>
      </c>
    </row>
    <row r="20" spans="1:7" ht="30" customHeight="1" x14ac:dyDescent="0.25">
      <c r="A20" t="s">
        <v>24</v>
      </c>
      <c r="B20" s="16" t="e">
        <f>1-(S4CustomerPays/Price)</f>
        <v>#VALUE!</v>
      </c>
      <c r="C20" s="24" t="e">
        <f>1-(S4CustomerFundedCost/RiskedCost)</f>
        <v>#VALUE!</v>
      </c>
      <c r="D20" s="25">
        <v>240000</v>
      </c>
      <c r="E20" s="26" t="e">
        <f>S4CustomerPays-RiskedCost</f>
        <v>#VALUE!</v>
      </c>
      <c r="F20" s="19">
        <f>S4CustomerPays*(1-Margin)</f>
        <v>168000</v>
      </c>
      <c r="G20" s="19" t="e">
        <f>RiskedCost-S4CustomerFundedCost</f>
        <v>#VALUE!</v>
      </c>
    </row>
    <row r="21" spans="1:7" x14ac:dyDescent="0.25">
      <c r="C21" s="27" t="s">
        <v>25</v>
      </c>
      <c r="D21" s="28" t="s">
        <v>26</v>
      </c>
    </row>
  </sheetData>
  <mergeCells count="4">
    <mergeCell ref="A1:E1"/>
    <mergeCell ref="A3:E3"/>
    <mergeCell ref="A10:E10"/>
    <mergeCell ref="A15:G15"/>
  </mergeCells>
  <pageMargins left="0.75" right="0.75" top="1" bottom="1" header="0.5" footer="0.5"/>
  <headerFooter>
    <oddFooter>&amp;L_x000D_&amp;1#&amp;"Aptos"&amp;7&amp;K000000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27</vt:i4>
      </vt:variant>
    </vt:vector>
  </HeadingPairs>
  <TitlesOfParts>
    <vt:vector size="28" baseType="lpstr">
      <vt:lpstr>Financial Model</vt:lpstr>
      <vt:lpstr>BaseCost</vt:lpstr>
      <vt:lpstr>BlendedRate</vt:lpstr>
      <vt:lpstr>Margin</vt:lpstr>
      <vt:lpstr>Marin</vt:lpstr>
      <vt:lpstr>Price</vt:lpstr>
      <vt:lpstr>Revenue</vt:lpstr>
      <vt:lpstr>Risk</vt:lpstr>
      <vt:lpstr>RiskContingency</vt:lpstr>
      <vt:lpstr>RiskedCost</vt:lpstr>
      <vt:lpstr>S1CostContribution</vt:lpstr>
      <vt:lpstr>S1CustomerFundedCost</vt:lpstr>
      <vt:lpstr>S1CustomerPays</vt:lpstr>
      <vt:lpstr>S1Revenue</vt:lpstr>
      <vt:lpstr>S2CostContribution</vt:lpstr>
      <vt:lpstr>S2CustomerFundedCost</vt:lpstr>
      <vt:lpstr>S2CustomerPays</vt:lpstr>
      <vt:lpstr>S2Discount</vt:lpstr>
      <vt:lpstr>S2Revenue</vt:lpstr>
      <vt:lpstr>S3CostContribution</vt:lpstr>
      <vt:lpstr>S3CustomerFundedCost</vt:lpstr>
      <vt:lpstr>S3CustomerPays</vt:lpstr>
      <vt:lpstr>S3Revenue</vt:lpstr>
      <vt:lpstr>S4CostContribution</vt:lpstr>
      <vt:lpstr>S4CustomerFundedCost</vt:lpstr>
      <vt:lpstr>S4CustomerPays</vt:lpstr>
      <vt:lpstr>S4Revenue</vt:lpstr>
      <vt:lpstr>TotalSD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Pires</dc:creator>
  <cp:lastModifiedBy>Rafael Pires</cp:lastModifiedBy>
  <dcterms:created xsi:type="dcterms:W3CDTF">2026-02-06T19:19:39Z</dcterms:created>
  <dcterms:modified xsi:type="dcterms:W3CDTF">2026-02-06T19:20:43Z</dcterms:modified>
</cp:coreProperties>
</file>